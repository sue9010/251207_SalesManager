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\\cox_biz\business\SalesManager\forms\"/>
    </mc:Choice>
  </mc:AlternateContent>
  <xr:revisionPtr revIDLastSave="0" documentId="13_ncr:1_{56976D3D-84DB-45CC-B324-1B37E6A3CE48}" xr6:coauthVersionLast="47" xr6:coauthVersionMax="47" xr10:uidLastSave="{00000000-0000-0000-0000-000000000000}"/>
  <bookViews>
    <workbookView xWindow="38280" yWindow="-120" windowWidth="29040" windowHeight="16440" tabRatio="560" xr2:uid="{00000000-000D-0000-FFFF-FFFF00000000}"/>
  </bookViews>
  <sheets>
    <sheet name="PL" sheetId="4" r:id="rId1"/>
  </sheets>
  <definedNames>
    <definedName name="_xlnm.Print_Area" localSheetId="0">PL!$A$1:$R$42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4" l="1"/>
  <c r="E26" i="4"/>
  <c r="A26" i="4"/>
  <c r="J16" i="4" l="1"/>
  <c r="K16" i="4"/>
  <c r="L16" i="4"/>
  <c r="N16" i="4"/>
  <c r="O16" i="4"/>
  <c r="Q16" i="4"/>
  <c r="R16" i="4"/>
  <c r="J18" i="4"/>
  <c r="K18" i="4"/>
  <c r="L18" i="4"/>
  <c r="N18" i="4"/>
  <c r="O18" i="4"/>
  <c r="Q18" i="4"/>
  <c r="R18" i="4"/>
  <c r="J20" i="4"/>
  <c r="K20" i="4"/>
  <c r="L20" i="4"/>
  <c r="N20" i="4"/>
  <c r="O20" i="4"/>
  <c r="Q20" i="4"/>
  <c r="R20" i="4"/>
  <c r="J22" i="4"/>
  <c r="K22" i="4"/>
  <c r="L22" i="4"/>
  <c r="N22" i="4"/>
  <c r="O22" i="4"/>
  <c r="Q22" i="4"/>
  <c r="R22" i="4"/>
  <c r="J24" i="4"/>
  <c r="K24" i="4"/>
  <c r="L24" i="4"/>
  <c r="N24" i="4"/>
  <c r="O24" i="4"/>
  <c r="Q24" i="4"/>
  <c r="R24" i="4"/>
  <c r="M18" i="4" l="1"/>
  <c r="P18" i="4" s="1"/>
  <c r="M24" i="4"/>
  <c r="P24" i="4" s="1"/>
  <c r="M16" i="4"/>
  <c r="P16" i="4" s="1"/>
  <c r="R26" i="4"/>
  <c r="N26" i="4"/>
  <c r="O26" i="4"/>
  <c r="M20" i="4"/>
  <c r="P20" i="4" s="1"/>
  <c r="M22" i="4"/>
  <c r="P22" i="4" s="1"/>
  <c r="Q26" i="4" l="1"/>
  <c r="P26" i="4" l="1"/>
  <c r="G26" i="4" s="1"/>
  <c r="M26" i="4"/>
</calcChain>
</file>

<file path=xl/sharedStrings.xml><?xml version="1.0" encoding="utf-8"?>
<sst xmlns="http://schemas.openxmlformats.org/spreadsheetml/2006/main" count="28" uniqueCount="27">
  <si>
    <r>
      <rPr>
        <b/>
        <sz val="10"/>
        <color rgb="FF000000"/>
        <rFont val="Verdana"/>
        <family val="2"/>
      </rPr>
      <t>DESCRIPTION</t>
    </r>
  </si>
  <si>
    <r>
      <rPr>
        <b/>
        <sz val="10"/>
        <color rgb="FF000000"/>
        <rFont val="Verdana"/>
        <family val="2"/>
      </rPr>
      <t>Q'TY</t>
    </r>
  </si>
  <si>
    <r>
      <rPr>
        <b/>
        <sz val="10"/>
        <color rgb="FF000000"/>
        <rFont val="Verdana"/>
        <family val="2"/>
      </rPr>
      <t>L x W x H</t>
    </r>
  </si>
  <si>
    <r>
      <rPr>
        <b/>
        <sz val="10"/>
        <color rgb="FF000000"/>
        <rFont val="Verdana"/>
        <family val="2"/>
      </rPr>
      <t>(cm)</t>
    </r>
  </si>
  <si>
    <t>N.W.</t>
  </si>
  <si>
    <r>
      <rPr>
        <b/>
        <sz val="10"/>
        <color rgb="FF000000"/>
        <rFont val="Verdana"/>
        <family val="2"/>
      </rPr>
      <t>(kgs)</t>
    </r>
  </si>
  <si>
    <r>
      <rPr>
        <b/>
        <sz val="10"/>
        <color rgb="FF000000"/>
        <rFont val="Verdana"/>
        <family val="2"/>
      </rPr>
      <t>G.W.</t>
    </r>
  </si>
  <si>
    <t>CBM</t>
  </si>
  <si>
    <r>
      <rPr>
        <sz val="10"/>
        <color rgb="FF000000"/>
        <rFont val="Verdana"/>
        <family val="2"/>
      </rPr>
      <t>TOTAL</t>
    </r>
  </si>
  <si>
    <r>
      <rPr>
        <sz val="10"/>
        <color rgb="FF000000"/>
        <rFont val="Calibri"/>
        <family val="2"/>
      </rPr>
      <t>#810, Hanwha Biz Metro 1-cha, 242, Digital-ro, Guro-gu, Seoul, Korea (152-733)</t>
    </r>
  </si>
  <si>
    <r>
      <rPr>
        <b/>
        <sz val="26"/>
        <color rgb="FF000000"/>
        <rFont val="Verdana"/>
        <family val="2"/>
      </rPr>
      <t>COX CO., Ltd.</t>
    </r>
  </si>
  <si>
    <r>
      <rPr>
        <b/>
        <sz val="10"/>
        <color rgb="FF000000"/>
        <rFont val="Verdana"/>
        <family val="2"/>
      </rPr>
      <t>COUNTRY Of ORIGIN : South korea</t>
    </r>
  </si>
  <si>
    <r>
      <rPr>
        <b/>
        <sz val="10"/>
        <color rgb="FF000000"/>
        <rFont val="Verdana"/>
        <family val="2"/>
      </rPr>
      <t>Cameras are of Korean preferential origin, customs authorization code</t>
    </r>
  </si>
  <si>
    <r>
      <rPr>
        <b/>
        <sz val="14"/>
        <color rgb="FF000000"/>
        <rFont val="Verdana"/>
        <family val="2"/>
      </rPr>
      <t>COX CO., Ltd.</t>
    </r>
  </si>
  <si>
    <t>Ship to</t>
    <phoneticPr fontId="1" type="noConversion"/>
  </si>
  <si>
    <t>**Packing List**</t>
    <phoneticPr fontId="1" type="noConversion"/>
  </si>
  <si>
    <t>C/NO.</t>
    <phoneticPr fontId="1" type="noConversion"/>
  </si>
  <si>
    <t>Payment Term : 100% advance payment received</t>
    <phoneticPr fontId="1" type="noConversion"/>
  </si>
  <si>
    <t>S/N</t>
    <phoneticPr fontId="1" type="noConversion"/>
  </si>
  <si>
    <t>Phone: 82-2-857-3888,   Fax: 82-70-7858-0022   E-mail: sales@coxcamera.com    www.coxcamera.com</t>
    <phoneticPr fontId="1" type="noConversion"/>
  </si>
  <si>
    <t xml:space="preserve"> Invoice No.: </t>
    <phoneticPr fontId="16" type="noConversion"/>
  </si>
  <si>
    <t>PO No.:</t>
    <phoneticPr fontId="1" type="noConversion"/>
  </si>
  <si>
    <t>Date:</t>
    <phoneticPr fontId="20" type="noConversion"/>
  </si>
  <si>
    <t>From:</t>
    <phoneticPr fontId="20" type="noConversion"/>
  </si>
  <si>
    <t>To:</t>
    <phoneticPr fontId="20" type="noConversion"/>
  </si>
  <si>
    <t>(unit)</t>
    <phoneticPr fontId="1" type="noConversion"/>
  </si>
  <si>
    <t>Notes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</si>
</sst>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"/>
    <numFmt numFmtId="177" formatCode="_-&quot;US$&quot;* #,##0_ ;_-&quot;US$&quot;* \-#,##0\ ;_-&quot;US$&quot;* &quot;-&quot;_ ;_-@_ "/>
    <numFmt numFmtId="178" formatCode="0_);[Red]\(0\)"/>
    <numFmt numFmtId="179" formatCode="0_ "/>
    <numFmt numFmtId="180" formatCode="0.00_ "/>
  </numFmts>
  <fonts count="22" x14ac:knownFonts="1">
    <font>
      <sz val="10"/>
      <color rgb="FF000000"/>
      <name val="Times New Roman"/>
    </font>
    <font>
      <b/>
      <sz val="16"/>
      <color rgb="FF000000"/>
      <name val="Verdana"/>
      <family val="2"/>
    </font>
    <font>
      <sz val="10"/>
      <color rgb="FF000000"/>
      <name val="Calibri"/>
      <family val="2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u/>
      <sz val="11"/>
      <color theme="10"/>
      <name val="Times New Roman"/>
      <family val="1"/>
    </font>
    <font>
      <u/>
      <sz val="11"/>
      <color theme="11"/>
      <name val="Times New Roman"/>
      <family val="1"/>
    </font>
    <font>
      <sz val="20"/>
      <color rgb="FF000000"/>
      <name val="Times New Roman"/>
      <family val="1"/>
    </font>
    <font>
      <b/>
      <sz val="26"/>
      <color rgb="FF000000"/>
      <name val="Verdana"/>
      <family val="2"/>
    </font>
    <font>
      <sz val="26"/>
      <color rgb="FF000000"/>
      <name val="Times New Roman"/>
      <family val="1"/>
    </font>
    <font>
      <b/>
      <sz val="14"/>
      <color rgb="FF000000"/>
      <name val="Verdana"/>
      <family val="2"/>
    </font>
    <font>
      <sz val="14"/>
      <color rgb="FF000000"/>
      <name val="Times New Roman"/>
      <family val="1"/>
    </font>
    <font>
      <sz val="9"/>
      <color rgb="FF000000"/>
      <name val="Verdana"/>
      <family val="2"/>
    </font>
    <font>
      <sz val="10"/>
      <name val="Verdana"/>
      <family val="2"/>
    </font>
    <font>
      <sz val="9"/>
      <color rgb="FF000000"/>
      <name val="Calibri"/>
      <family val="2"/>
    </font>
    <font>
      <sz val="10"/>
      <color rgb="FF000000"/>
      <name val="Times New Roman"/>
      <family val="1"/>
    </font>
    <font>
      <sz val="8"/>
      <name val="바탕"/>
      <family val="1"/>
      <charset val="129"/>
    </font>
    <font>
      <sz val="12"/>
      <name val="新細明體"/>
      <family val="1"/>
      <charset val="136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double">
        <color theme="1"/>
      </left>
      <right/>
      <top style="double">
        <color theme="1"/>
      </top>
      <bottom/>
      <diagonal/>
    </border>
    <border>
      <left/>
      <right/>
      <top style="double">
        <color theme="1"/>
      </top>
      <bottom/>
      <diagonal/>
    </border>
    <border>
      <left/>
      <right style="double">
        <color theme="1"/>
      </right>
      <top style="double">
        <color theme="1"/>
      </top>
      <bottom/>
      <diagonal/>
    </border>
    <border>
      <left style="double">
        <color theme="1"/>
      </left>
      <right/>
      <top/>
      <bottom style="double">
        <color theme="1"/>
      </bottom>
      <diagonal/>
    </border>
    <border>
      <left/>
      <right/>
      <top/>
      <bottom style="double">
        <color theme="1"/>
      </bottom>
      <diagonal/>
    </border>
    <border>
      <left/>
      <right style="double">
        <color theme="1"/>
      </right>
      <top/>
      <bottom style="double">
        <color theme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/>
    <xf numFmtId="0" fontId="21" fillId="0" borderId="0"/>
  </cellStyleXfs>
  <cellXfs count="50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 indent="1"/>
    </xf>
    <xf numFmtId="2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shrinkToFit="1"/>
    </xf>
    <xf numFmtId="0" fontId="18" fillId="0" borderId="0" xfId="3" applyFont="1" applyAlignment="1">
      <alignment horizontal="left"/>
    </xf>
    <xf numFmtId="0" fontId="18" fillId="0" borderId="0" xfId="3" applyFont="1"/>
    <xf numFmtId="0" fontId="19" fillId="0" borderId="0" xfId="0" applyFont="1" applyAlignment="1">
      <alignment vertical="center"/>
    </xf>
    <xf numFmtId="0" fontId="19" fillId="0" borderId="0" xfId="3" applyFont="1"/>
    <xf numFmtId="0" fontId="18" fillId="0" borderId="0" xfId="0" applyFont="1"/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8" fontId="15" fillId="0" borderId="0" xfId="0" applyNumberFormat="1" applyFont="1" applyAlignment="1">
      <alignment horizontal="center" vertical="center"/>
    </xf>
    <xf numFmtId="179" fontId="12" fillId="0" borderId="7" xfId="0" applyNumberFormat="1" applyFont="1" applyBorder="1" applyAlignment="1">
      <alignment horizontal="center" vertical="center"/>
    </xf>
    <xf numFmtId="180" fontId="0" fillId="0" borderId="7" xfId="0" applyNumberFormat="1" applyBorder="1" applyAlignment="1">
      <alignment horizontal="right" vertical="center"/>
    </xf>
    <xf numFmtId="178" fontId="15" fillId="0" borderId="2" xfId="0" applyNumberFormat="1" applyFon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/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horizontal="right" vertical="center"/>
    </xf>
    <xf numFmtId="0" fontId="18" fillId="0" borderId="0" xfId="0" applyFont="1" applyAlignment="1">
      <alignment horizontal="left" vertical="center"/>
    </xf>
    <xf numFmtId="177" fontId="18" fillId="0" borderId="0" xfId="3" applyNumberFormat="1" applyFont="1" applyAlignment="1">
      <alignment horizontal="right" vertical="center"/>
    </xf>
    <xf numFmtId="0" fontId="4" fillId="0" borderId="0" xfId="0" applyFont="1" applyAlignment="1">
      <alignment horizontal="left" vertical="top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0" fillId="0" borderId="7" xfId="0" applyNumberFormat="1" applyBorder="1" applyAlignment="1">
      <alignment horizontal="right" vertical="center" shrinkToFi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top" wrapText="1" indent="16"/>
    </xf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5">
    <cellStyle name="열어 본 하이퍼링크" xfId="2" builtinId="9" hidden="1"/>
    <cellStyle name="표준" xfId="0" builtinId="0"/>
    <cellStyle name="표준 2" xfId="3" xr:uid="{F5C1E5FD-6C47-4496-B71F-9368E3A92C0F}"/>
    <cellStyle name="표준 3" xfId="4" xr:uid="{DEFB3888-C740-4055-976A-50C31D3606FD}"/>
    <cellStyle name="하이퍼링크" xfId="1" builtinId="8" hidde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92697</xdr:colOff>
      <xdr:row>0</xdr:row>
      <xdr:rowOff>116512</xdr:rowOff>
    </xdr:from>
    <xdr:to>
      <xdr:col>0</xdr:col>
      <xdr:colOff>968997</xdr:colOff>
      <xdr:row>1</xdr:row>
      <xdr:rowOff>110047</xdr:rowOff>
    </xdr:to>
    <xdr:pic>
      <xdr:nvPicPr>
        <xdr:cNvPr id="7" name="그림 4" descr="COX_CI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97" y="116512"/>
          <a:ext cx="876300" cy="412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181993</xdr:colOff>
      <xdr:row>0</xdr:row>
      <xdr:rowOff>74840</xdr:rowOff>
    </xdr:from>
    <xdr:to>
      <xdr:col>8</xdr:col>
      <xdr:colOff>224717</xdr:colOff>
      <xdr:row>1</xdr:row>
      <xdr:rowOff>123358</xdr:rowOff>
    </xdr:to>
    <xdr:pic>
      <xdr:nvPicPr>
        <xdr:cNvPr id="8" name="그림 7" descr="CP_로고_A등급png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392293" y="74840"/>
          <a:ext cx="461823" cy="467618"/>
        </a:xfrm>
        <a:prstGeom prst="rect">
          <a:avLst/>
        </a:prstGeom>
      </xdr:spPr>
    </xdr:pic>
    <xdr:clientData/>
  </xdr:twoCellAnchor>
  <xdr:twoCellAnchor editAs="oneCell">
    <xdr:from>
      <xdr:col>2</xdr:col>
      <xdr:colOff>289890</xdr:colOff>
      <xdr:row>34</xdr:row>
      <xdr:rowOff>82826</xdr:rowOff>
    </xdr:from>
    <xdr:to>
      <xdr:col>8</xdr:col>
      <xdr:colOff>78716</xdr:colOff>
      <xdr:row>40</xdr:row>
      <xdr:rowOff>40999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1371C11-A29B-47D9-A9DF-6807FF96E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1629" y="7785652"/>
          <a:ext cx="2522087" cy="885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R42"/>
  <sheetViews>
    <sheetView tabSelected="1" view="pageBreakPreview" topLeftCell="A10" zoomScale="115" zoomScaleNormal="70" zoomScaleSheetLayoutView="115" workbookViewId="0">
      <selection activeCell="D16" sqref="D16"/>
    </sheetView>
  </sheetViews>
  <sheetFormatPr defaultColWidth="9.1640625" defaultRowHeight="12.75" x14ac:dyDescent="0.2"/>
  <cols>
    <col min="1" max="1" width="14.1640625" style="1" customWidth="1"/>
    <col min="2" max="2" width="38" style="1" customWidth="1"/>
    <col min="3" max="3" width="7.83203125" style="1" bestFit="1" customWidth="1"/>
    <col min="4" max="4" width="9.33203125" style="1" customWidth="1"/>
    <col min="5" max="6" width="8.83203125" style="1" bestFit="1" customWidth="1"/>
    <col min="7" max="8" width="6.5" style="1" customWidth="1"/>
    <col min="9" max="9" width="5.83203125" style="1" customWidth="1"/>
    <col min="10" max="11" width="5" style="1" hidden="1" customWidth="1"/>
    <col min="12" max="12" width="4" style="1" hidden="1" customWidth="1"/>
    <col min="13" max="13" width="7.5" style="1" hidden="1" customWidth="1"/>
    <col min="14" max="15" width="8.5" style="1" hidden="1" customWidth="1"/>
    <col min="16" max="16" width="8.1640625" style="1" hidden="1" customWidth="1"/>
    <col min="17" max="18" width="9.1640625" style="1" hidden="1" customWidth="1"/>
    <col min="19" max="16384" width="9.1640625" style="1"/>
  </cols>
  <sheetData>
    <row r="1" spans="1:18" ht="33" x14ac:dyDescent="0.2">
      <c r="A1" s="38" t="s">
        <v>10</v>
      </c>
      <c r="B1" s="39"/>
      <c r="C1" s="39"/>
      <c r="D1" s="39"/>
      <c r="E1" s="39"/>
      <c r="F1" s="39"/>
      <c r="G1" s="39"/>
      <c r="H1" s="39"/>
      <c r="I1" s="39"/>
    </row>
    <row r="2" spans="1:18" ht="12" customHeight="1" x14ac:dyDescent="0.2">
      <c r="A2" s="49" t="s">
        <v>9</v>
      </c>
      <c r="B2" s="49"/>
      <c r="C2" s="49"/>
      <c r="D2" s="49"/>
      <c r="E2" s="49"/>
      <c r="F2" s="49"/>
      <c r="G2" s="49"/>
      <c r="H2" s="49"/>
      <c r="I2" s="49"/>
    </row>
    <row r="3" spans="1:18" ht="12" customHeight="1" x14ac:dyDescent="0.2">
      <c r="A3" s="48" t="s">
        <v>19</v>
      </c>
      <c r="B3" s="48"/>
      <c r="C3" s="48"/>
      <c r="D3" s="48"/>
      <c r="E3" s="48"/>
      <c r="F3" s="48"/>
      <c r="G3" s="48"/>
      <c r="H3" s="48"/>
      <c r="I3" s="48"/>
    </row>
    <row r="4" spans="1:18" ht="12" customHeight="1" x14ac:dyDescent="0.2">
      <c r="B4" s="7"/>
      <c r="C4" s="2"/>
      <c r="D4" s="2"/>
      <c r="E4" s="2"/>
      <c r="F4" s="2"/>
      <c r="G4" s="2"/>
      <c r="H4" s="2"/>
      <c r="I4" s="2"/>
    </row>
    <row r="5" spans="1:18" ht="12" customHeight="1" x14ac:dyDescent="0.2">
      <c r="A5" s="40" t="s">
        <v>15</v>
      </c>
      <c r="B5" s="41"/>
      <c r="C5" s="41"/>
      <c r="D5" s="41"/>
      <c r="E5" s="41"/>
      <c r="F5" s="41"/>
      <c r="G5" s="41"/>
      <c r="H5" s="41"/>
      <c r="I5" s="41"/>
    </row>
    <row r="6" spans="1:18" ht="12" customHeight="1" x14ac:dyDescent="0.2">
      <c r="A6" s="41" t="s">
        <v>13</v>
      </c>
      <c r="B6" s="41"/>
      <c r="C6" s="41"/>
      <c r="D6" s="41"/>
      <c r="E6" s="41"/>
      <c r="F6" s="41"/>
      <c r="G6" s="41"/>
      <c r="H6" s="41"/>
      <c r="I6" s="41"/>
    </row>
    <row r="7" spans="1:18" ht="12" customHeight="1" x14ac:dyDescent="0.2">
      <c r="A7" s="4"/>
      <c r="B7" s="4"/>
      <c r="C7" s="4"/>
      <c r="D7" s="4"/>
      <c r="E7" s="4"/>
      <c r="F7" s="4"/>
      <c r="G7" s="4"/>
      <c r="H7" s="4"/>
      <c r="I7" s="4"/>
    </row>
    <row r="8" spans="1:18" ht="12.75" customHeight="1" x14ac:dyDescent="0.25">
      <c r="A8" s="10" t="s">
        <v>14</v>
      </c>
      <c r="B8" s="10"/>
      <c r="C8" s="10"/>
      <c r="D8" s="10"/>
      <c r="E8" s="11"/>
      <c r="F8"/>
      <c r="G8"/>
      <c r="H8"/>
      <c r="I8"/>
    </row>
    <row r="9" spans="1:18" ht="12.75" customHeight="1" x14ac:dyDescent="0.25">
      <c r="A9" s="12"/>
      <c r="B9" s="13"/>
      <c r="C9" s="29" t="s">
        <v>20</v>
      </c>
      <c r="D9" s="29"/>
      <c r="E9" s="29"/>
      <c r="F9" s="30"/>
      <c r="G9" s="30"/>
      <c r="H9" s="30"/>
      <c r="I9" s="30"/>
    </row>
    <row r="10" spans="1:18" ht="12.75" customHeight="1" x14ac:dyDescent="0.2">
      <c r="A10" s="28"/>
      <c r="B10" s="28"/>
      <c r="C10" s="31" t="s">
        <v>21</v>
      </c>
      <c r="D10" s="31"/>
      <c r="E10" s="31"/>
      <c r="F10" s="30"/>
      <c r="G10" s="30"/>
      <c r="H10" s="30"/>
      <c r="I10" s="30"/>
    </row>
    <row r="11" spans="1:18" ht="12.75" customHeight="1" x14ac:dyDescent="0.2">
      <c r="A11" s="28"/>
      <c r="B11" s="28"/>
      <c r="C11" s="31" t="s">
        <v>22</v>
      </c>
      <c r="D11" s="31"/>
      <c r="E11" s="31"/>
      <c r="F11" s="30"/>
      <c r="G11" s="30"/>
      <c r="H11" s="30"/>
      <c r="I11" s="30"/>
    </row>
    <row r="12" spans="1:18" ht="12.75" customHeight="1" x14ac:dyDescent="0.25">
      <c r="A12" s="14"/>
      <c r="B12" s="11"/>
      <c r="C12" s="31" t="s">
        <v>23</v>
      </c>
      <c r="D12" s="31"/>
      <c r="E12" s="31"/>
      <c r="F12" s="30"/>
      <c r="G12" s="30"/>
      <c r="H12" s="30"/>
      <c r="I12" s="30"/>
    </row>
    <row r="13" spans="1:18" ht="15.75" customHeight="1" thickBot="1" x14ac:dyDescent="0.3">
      <c r="A13" s="14"/>
      <c r="B13" s="11"/>
      <c r="C13" s="31" t="s">
        <v>24</v>
      </c>
      <c r="D13" s="31"/>
      <c r="E13" s="31"/>
      <c r="F13" s="30"/>
      <c r="G13" s="30"/>
      <c r="H13" s="30"/>
      <c r="I13" s="30"/>
    </row>
    <row r="14" spans="1:18" ht="18.75" customHeight="1" thickTop="1" x14ac:dyDescent="0.2">
      <c r="A14" s="42" t="s">
        <v>16</v>
      </c>
      <c r="B14" s="33" t="s">
        <v>0</v>
      </c>
      <c r="C14" s="33" t="s">
        <v>1</v>
      </c>
      <c r="D14" s="33" t="s">
        <v>25</v>
      </c>
      <c r="E14" s="15" t="s">
        <v>4</v>
      </c>
      <c r="F14" s="15" t="s">
        <v>6</v>
      </c>
      <c r="G14" s="33" t="s">
        <v>2</v>
      </c>
      <c r="H14" s="44"/>
      <c r="I14" s="45"/>
    </row>
    <row r="15" spans="1:18" ht="18.75" customHeight="1" thickBot="1" x14ac:dyDescent="0.25">
      <c r="A15" s="43"/>
      <c r="B15" s="34"/>
      <c r="C15" s="34"/>
      <c r="D15" s="34"/>
      <c r="E15" s="16" t="s">
        <v>5</v>
      </c>
      <c r="F15" s="16" t="s">
        <v>5</v>
      </c>
      <c r="G15" s="34" t="s">
        <v>3</v>
      </c>
      <c r="H15" s="46"/>
      <c r="I15" s="47"/>
    </row>
    <row r="16" spans="1:18" ht="23.25" customHeight="1" thickTop="1" x14ac:dyDescent="0.2">
      <c r="A16" s="18"/>
      <c r="B16" s="23"/>
      <c r="C16" s="17"/>
      <c r="D16" s="26"/>
      <c r="E16" s="21"/>
      <c r="F16" s="21"/>
      <c r="G16" s="17"/>
      <c r="H16" s="17"/>
      <c r="I16" s="17"/>
      <c r="J16" s="36">
        <f t="shared" ref="J16" si="0">G16*0.01</f>
        <v>0</v>
      </c>
      <c r="K16" s="36">
        <f t="shared" ref="K16" si="1">H16*0.01</f>
        <v>0</v>
      </c>
      <c r="L16" s="36">
        <f t="shared" ref="L16" si="2">I16*0.01</f>
        <v>0</v>
      </c>
      <c r="M16" s="37">
        <f t="shared" ref="M16" si="3">J16*K16*L16</f>
        <v>0</v>
      </c>
      <c r="N16" s="36" t="e">
        <f>C16*#REF!</f>
        <v>#REF!</v>
      </c>
      <c r="O16" s="36" t="e">
        <f>#REF!*C16</f>
        <v>#REF!</v>
      </c>
      <c r="P16" s="36">
        <f>C16*M16</f>
        <v>0</v>
      </c>
      <c r="Q16" s="36" t="e">
        <f>C16*#REF!</f>
        <v>#REF!</v>
      </c>
      <c r="R16" s="36" t="e">
        <f>C16*#REF!</f>
        <v>#REF!</v>
      </c>
    </row>
    <row r="17" spans="1:18" ht="23.25" customHeight="1" x14ac:dyDescent="0.2">
      <c r="A17" s="17"/>
      <c r="B17" s="24"/>
      <c r="C17" s="18"/>
      <c r="D17" s="26"/>
      <c r="E17" s="17"/>
      <c r="F17" s="17"/>
      <c r="G17" s="17"/>
      <c r="H17" s="17"/>
      <c r="I17" s="17"/>
      <c r="J17" s="36"/>
      <c r="K17" s="36"/>
      <c r="L17" s="36"/>
      <c r="M17" s="37"/>
      <c r="N17" s="36"/>
      <c r="O17" s="36"/>
      <c r="P17" s="36"/>
      <c r="Q17" s="36"/>
      <c r="R17" s="36"/>
    </row>
    <row r="18" spans="1:18" ht="23.25" customHeight="1" x14ac:dyDescent="0.2">
      <c r="A18" s="18"/>
      <c r="B18" s="23"/>
      <c r="C18" s="17"/>
      <c r="E18" s="17"/>
      <c r="F18" s="17"/>
      <c r="G18" s="17"/>
      <c r="H18" s="17"/>
      <c r="I18" s="17"/>
      <c r="J18" s="36">
        <f t="shared" ref="J18" si="4">G18*0.01</f>
        <v>0</v>
      </c>
      <c r="K18" s="36">
        <f t="shared" ref="K18" si="5">H18*0.01</f>
        <v>0</v>
      </c>
      <c r="L18" s="36">
        <f t="shared" ref="L18" si="6">I18*0.01</f>
        <v>0</v>
      </c>
      <c r="M18" s="37">
        <f t="shared" ref="M18" si="7">J18*K18*L18</f>
        <v>0</v>
      </c>
      <c r="N18" s="36">
        <f>C18*E18</f>
        <v>0</v>
      </c>
      <c r="O18" s="36">
        <f>F18*C18</f>
        <v>0</v>
      </c>
      <c r="P18" s="36">
        <f>C18*M18</f>
        <v>0</v>
      </c>
      <c r="Q18" s="36">
        <f>C18*E18</f>
        <v>0</v>
      </c>
      <c r="R18" s="36">
        <f>C18*F18</f>
        <v>0</v>
      </c>
    </row>
    <row r="19" spans="1:18" ht="23.25" customHeight="1" x14ac:dyDescent="0.2">
      <c r="A19" s="17"/>
      <c r="B19" s="24"/>
      <c r="C19" s="18"/>
      <c r="D19" s="26"/>
      <c r="E19" s="17"/>
      <c r="F19" s="17"/>
      <c r="G19" s="17"/>
      <c r="H19" s="17"/>
      <c r="I19" s="17"/>
      <c r="J19" s="36"/>
      <c r="K19" s="36"/>
      <c r="L19" s="36"/>
      <c r="M19" s="37"/>
      <c r="N19" s="36"/>
      <c r="O19" s="36"/>
      <c r="P19" s="36"/>
      <c r="Q19" s="36"/>
      <c r="R19" s="36"/>
    </row>
    <row r="20" spans="1:18" ht="23.25" customHeight="1" x14ac:dyDescent="0.2">
      <c r="A20" s="18"/>
      <c r="B20" s="23"/>
      <c r="C20" s="17"/>
      <c r="E20" s="17"/>
      <c r="F20" s="17"/>
      <c r="G20" s="17"/>
      <c r="H20" s="17"/>
      <c r="I20" s="17"/>
      <c r="J20" s="36">
        <f t="shared" ref="J20" si="8">G20*0.01</f>
        <v>0</v>
      </c>
      <c r="K20" s="36">
        <f t="shared" ref="K20" si="9">H20*0.01</f>
        <v>0</v>
      </c>
      <c r="L20" s="36">
        <f t="shared" ref="L20" si="10">I20*0.01</f>
        <v>0</v>
      </c>
      <c r="M20" s="37">
        <f t="shared" ref="M20" si="11">J20*K20*L20</f>
        <v>0</v>
      </c>
      <c r="N20" s="36">
        <f>C20*E20</f>
        <v>0</v>
      </c>
      <c r="O20" s="36">
        <f>F20*C20</f>
        <v>0</v>
      </c>
      <c r="P20" s="36">
        <f>C20*M20</f>
        <v>0</v>
      </c>
      <c r="Q20" s="36">
        <f>C20*E20</f>
        <v>0</v>
      </c>
      <c r="R20" s="36">
        <f>C20*F20</f>
        <v>0</v>
      </c>
    </row>
    <row r="21" spans="1:18" ht="23.25" customHeight="1" x14ac:dyDescent="0.2">
      <c r="A21" s="17"/>
      <c r="B21" s="24"/>
      <c r="C21" s="18"/>
      <c r="D21" s="26"/>
      <c r="E21" s="17"/>
      <c r="F21" s="17"/>
      <c r="G21" s="17"/>
      <c r="H21" s="17"/>
      <c r="I21" s="17"/>
      <c r="J21" s="36"/>
      <c r="K21" s="36"/>
      <c r="L21" s="36"/>
      <c r="M21" s="37"/>
      <c r="N21" s="36"/>
      <c r="O21" s="36"/>
      <c r="P21" s="36"/>
      <c r="Q21" s="36"/>
      <c r="R21" s="36"/>
    </row>
    <row r="22" spans="1:18" ht="23.25" customHeight="1" x14ac:dyDescent="0.2">
      <c r="A22" s="18"/>
      <c r="B22" s="23"/>
      <c r="C22" s="17"/>
      <c r="E22" s="17"/>
      <c r="F22" s="17"/>
      <c r="G22" s="17"/>
      <c r="H22" s="17"/>
      <c r="I22" s="17"/>
      <c r="J22" s="36">
        <f t="shared" ref="J22" si="12">G22*0.01</f>
        <v>0</v>
      </c>
      <c r="K22" s="36">
        <f t="shared" ref="K22" si="13">H22*0.01</f>
        <v>0</v>
      </c>
      <c r="L22" s="36">
        <f t="shared" ref="L22" si="14">I22*0.01</f>
        <v>0</v>
      </c>
      <c r="M22" s="37">
        <f t="shared" ref="M22" si="15">J22*K22*L22</f>
        <v>0</v>
      </c>
      <c r="N22" s="36">
        <f>C22*E22</f>
        <v>0</v>
      </c>
      <c r="O22" s="36">
        <f>F22*C22</f>
        <v>0</v>
      </c>
      <c r="P22" s="36">
        <f>C22*M22</f>
        <v>0</v>
      </c>
      <c r="Q22" s="36">
        <f>C22*E22</f>
        <v>0</v>
      </c>
      <c r="R22" s="36">
        <f>C22*F22</f>
        <v>0</v>
      </c>
    </row>
    <row r="23" spans="1:18" ht="23.25" customHeight="1" x14ac:dyDescent="0.2">
      <c r="A23" s="17"/>
      <c r="B23" s="24"/>
      <c r="C23" s="18"/>
      <c r="D23" s="26"/>
      <c r="E23" s="17"/>
      <c r="F23" s="17"/>
      <c r="G23" s="17"/>
      <c r="H23" s="17"/>
      <c r="I23" s="17"/>
      <c r="J23" s="36"/>
      <c r="K23" s="36"/>
      <c r="L23" s="36"/>
      <c r="M23" s="37"/>
      <c r="N23" s="36"/>
      <c r="O23" s="36"/>
      <c r="P23" s="36"/>
      <c r="Q23" s="36"/>
      <c r="R23" s="36"/>
    </row>
    <row r="24" spans="1:18" ht="23.25" customHeight="1" x14ac:dyDescent="0.2">
      <c r="A24" s="18"/>
      <c r="B24" s="23"/>
      <c r="C24" s="17"/>
      <c r="E24" s="17"/>
      <c r="F24" s="17"/>
      <c r="G24" s="17"/>
      <c r="H24" s="17"/>
      <c r="I24" s="17"/>
      <c r="J24" s="36">
        <f t="shared" ref="J24" si="16">G24*0.01</f>
        <v>0</v>
      </c>
      <c r="K24" s="36">
        <f t="shared" ref="K24" si="17">H24*0.01</f>
        <v>0</v>
      </c>
      <c r="L24" s="36">
        <f t="shared" ref="L24" si="18">I24*0.01</f>
        <v>0</v>
      </c>
      <c r="M24" s="37">
        <f t="shared" ref="M24" si="19">J24*K24*L24</f>
        <v>0</v>
      </c>
      <c r="N24" s="36">
        <f>C24*E24</f>
        <v>0</v>
      </c>
      <c r="O24" s="36">
        <f>F24*C24</f>
        <v>0</v>
      </c>
      <c r="P24" s="36">
        <f>C24*M24</f>
        <v>0</v>
      </c>
      <c r="Q24" s="36">
        <f>C24*E24</f>
        <v>0</v>
      </c>
      <c r="R24" s="36">
        <f>C24*F24</f>
        <v>0</v>
      </c>
    </row>
    <row r="25" spans="1:18" ht="23.25" customHeight="1" x14ac:dyDescent="0.2">
      <c r="A25" s="17"/>
      <c r="B25" s="24"/>
      <c r="C25" s="18"/>
      <c r="D25" s="26"/>
      <c r="E25" s="22"/>
      <c r="F25" s="22"/>
      <c r="G25" s="17"/>
      <c r="H25" s="17"/>
      <c r="I25" s="17"/>
      <c r="J25" s="36"/>
      <c r="K25" s="36"/>
      <c r="L25" s="36"/>
      <c r="M25" s="37"/>
      <c r="N25" s="36"/>
      <c r="O25" s="36"/>
      <c r="P25" s="36"/>
      <c r="Q25" s="36"/>
      <c r="R25" s="36"/>
    </row>
    <row r="26" spans="1:18" ht="18.75" customHeight="1" x14ac:dyDescent="0.2">
      <c r="A26" s="19">
        <f>COUNT(A16:A25)</f>
        <v>0</v>
      </c>
      <c r="B26" s="8" t="s">
        <v>8</v>
      </c>
      <c r="C26" s="6"/>
      <c r="D26" s="6"/>
      <c r="E26" s="20">
        <f>SUM(E16:E25)</f>
        <v>0</v>
      </c>
      <c r="F26" s="20">
        <f>SUM(F16:F25)</f>
        <v>0</v>
      </c>
      <c r="G26" s="35">
        <f>P26</f>
        <v>0</v>
      </c>
      <c r="H26" s="35"/>
      <c r="I26" s="9" t="s">
        <v>7</v>
      </c>
      <c r="M26" s="3">
        <f t="shared" ref="M26:R26" si="20">SUM(M16:M25)</f>
        <v>0</v>
      </c>
      <c r="N26" s="3" t="e">
        <f t="shared" si="20"/>
        <v>#REF!</v>
      </c>
      <c r="O26" s="3" t="e">
        <f t="shared" si="20"/>
        <v>#REF!</v>
      </c>
      <c r="P26" s="3">
        <f t="shared" si="20"/>
        <v>0</v>
      </c>
      <c r="Q26" s="3" t="e">
        <f t="shared" si="20"/>
        <v>#REF!</v>
      </c>
      <c r="R26" s="3" t="e">
        <f t="shared" si="20"/>
        <v>#REF!</v>
      </c>
    </row>
    <row r="27" spans="1:18" ht="18.75" customHeight="1" x14ac:dyDescent="0.2"/>
    <row r="28" spans="1:18" ht="12" customHeight="1" x14ac:dyDescent="0.2">
      <c r="A28" s="5" t="s">
        <v>26</v>
      </c>
    </row>
    <row r="29" spans="1:18" ht="41.25" customHeight="1" x14ac:dyDescent="0.2">
      <c r="A29" s="32"/>
      <c r="B29" s="32"/>
      <c r="C29" s="32"/>
      <c r="D29" s="32"/>
      <c r="E29" s="32"/>
      <c r="F29" s="32"/>
      <c r="G29" s="32"/>
      <c r="H29" s="32"/>
      <c r="I29" s="32"/>
    </row>
    <row r="30" spans="1:18" ht="12" customHeight="1" x14ac:dyDescent="0.2">
      <c r="A30" s="5" t="s">
        <v>11</v>
      </c>
    </row>
    <row r="31" spans="1:18" ht="12" customHeight="1" x14ac:dyDescent="0.2">
      <c r="A31" s="5" t="s">
        <v>12</v>
      </c>
    </row>
    <row r="32" spans="1:18" ht="12" customHeight="1" x14ac:dyDescent="0.2">
      <c r="A32" s="5" t="s">
        <v>17</v>
      </c>
    </row>
    <row r="33" spans="1:6" ht="12" customHeight="1" x14ac:dyDescent="0.2">
      <c r="A33" s="5" t="s">
        <v>18</v>
      </c>
    </row>
    <row r="34" spans="1:6" ht="12" customHeight="1" x14ac:dyDescent="0.2">
      <c r="A34" s="27"/>
      <c r="B34" s="27"/>
    </row>
    <row r="35" spans="1:6" ht="12" customHeight="1" x14ac:dyDescent="0.2">
      <c r="A35" s="27"/>
      <c r="B35" s="27"/>
    </row>
    <row r="36" spans="1:6" ht="12" customHeight="1" x14ac:dyDescent="0.2">
      <c r="A36" s="27"/>
      <c r="B36" s="27"/>
    </row>
    <row r="37" spans="1:6" ht="12" customHeight="1" x14ac:dyDescent="0.2">
      <c r="A37" s="27"/>
      <c r="B37" s="27"/>
    </row>
    <row r="38" spans="1:6" ht="12" customHeight="1" x14ac:dyDescent="0.2">
      <c r="A38" s="27"/>
      <c r="B38" s="27"/>
    </row>
    <row r="39" spans="1:6" x14ac:dyDescent="0.2">
      <c r="A39" s="27"/>
      <c r="B39" s="27"/>
    </row>
    <row r="40" spans="1:6" x14ac:dyDescent="0.2">
      <c r="A40" s="27"/>
      <c r="B40" s="27"/>
    </row>
    <row r="41" spans="1:6" x14ac:dyDescent="0.2">
      <c r="A41" s="27"/>
      <c r="B41" s="27"/>
    </row>
    <row r="42" spans="1:6" x14ac:dyDescent="0.2">
      <c r="A42" s="27"/>
      <c r="B42" s="27"/>
      <c r="F42" s="25"/>
    </row>
  </sheetData>
  <mergeCells count="69">
    <mergeCell ref="A1:I1"/>
    <mergeCell ref="A5:I6"/>
    <mergeCell ref="A14:A15"/>
    <mergeCell ref="B14:B15"/>
    <mergeCell ref="G14:I14"/>
    <mergeCell ref="G15:I15"/>
    <mergeCell ref="A3:I3"/>
    <mergeCell ref="A2:I2"/>
    <mergeCell ref="O16:O17"/>
    <mergeCell ref="P16:P17"/>
    <mergeCell ref="O20:O21"/>
    <mergeCell ref="P20:P21"/>
    <mergeCell ref="O24:O25"/>
    <mergeCell ref="P24:P25"/>
    <mergeCell ref="Q16:Q17"/>
    <mergeCell ref="R16:R17"/>
    <mergeCell ref="J18:J19"/>
    <mergeCell ref="K18:K19"/>
    <mergeCell ref="L18:L19"/>
    <mergeCell ref="M18:M19"/>
    <mergeCell ref="N18:N19"/>
    <mergeCell ref="O18:O19"/>
    <mergeCell ref="P18:P19"/>
    <mergeCell ref="Q18:Q19"/>
    <mergeCell ref="R18:R19"/>
    <mergeCell ref="J16:J17"/>
    <mergeCell ref="K16:K17"/>
    <mergeCell ref="L16:L17"/>
    <mergeCell ref="M16:M17"/>
    <mergeCell ref="N16:N17"/>
    <mergeCell ref="Q20:Q21"/>
    <mergeCell ref="R20:R21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J20:J21"/>
    <mergeCell ref="K20:K21"/>
    <mergeCell ref="L20:L21"/>
    <mergeCell ref="M20:M21"/>
    <mergeCell ref="N20:N21"/>
    <mergeCell ref="Q24:Q25"/>
    <mergeCell ref="R24:R25"/>
    <mergeCell ref="J24:J25"/>
    <mergeCell ref="K24:K25"/>
    <mergeCell ref="L24:L25"/>
    <mergeCell ref="M24:M25"/>
    <mergeCell ref="N24:N25"/>
    <mergeCell ref="A34:B42"/>
    <mergeCell ref="A10:B11"/>
    <mergeCell ref="C9:E9"/>
    <mergeCell ref="F9:I9"/>
    <mergeCell ref="C10:E10"/>
    <mergeCell ref="F10:I10"/>
    <mergeCell ref="C11:E11"/>
    <mergeCell ref="F11:I11"/>
    <mergeCell ref="C12:E12"/>
    <mergeCell ref="F12:I12"/>
    <mergeCell ref="C13:E13"/>
    <mergeCell ref="F13:I13"/>
    <mergeCell ref="A29:I29"/>
    <mergeCell ref="C14:C15"/>
    <mergeCell ref="D14:D15"/>
    <mergeCell ref="G26:H26"/>
  </mergeCells>
  <phoneticPr fontId="1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3</Pages>
  <Words>0</Words>
  <Characters>0</Characters>
  <Application>Microsoft Excel</Application>
  <DocSecurity>0</DocSecurity>
  <Lines>0</Lines>
  <Paragraphs>0</Paragraphs>
  <MMClips>0</MMClips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PL</vt:lpstr>
      <vt:lpstr>PL!Print_Area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soo8oct</dc:creator>
  <cp:lastModifiedBy>Sumin Ha</cp:lastModifiedBy>
  <cp:revision>3</cp:revision>
  <cp:lastPrinted>2025-06-20T00:11:05Z</cp:lastPrinted>
  <dcterms:created xsi:type="dcterms:W3CDTF">2019-10-10T05:24:37Z</dcterms:created>
  <dcterms:modified xsi:type="dcterms:W3CDTF">2025-12-05T04:21:51Z</dcterms:modified>
</cp:coreProperties>
</file>
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x_biz\business\SalesManager\forms\"/>
    </mc:Choice>
  </mc:AlternateContent>
  <xr:revisionPtr revIDLastSave="0" documentId="13_ncr:1_{788C454A-25F0-4A54-8E59-2B29B1CEB3CD}" xr6:coauthVersionLast="47" xr6:coauthVersionMax="47" xr10:uidLastSave="{00000000-0000-0000-0000-000000000000}"/>
  <bookViews>
    <workbookView xWindow="38295" yWindow="0" windowWidth="14610" windowHeight="16305" xr2:uid="{F3FB9867-6A63-47CB-B125-EE1860B0D912}"/>
  </bookViews>
  <sheets>
    <sheet name="견적서(국문)" sheetId="1" r:id="rId1"/>
  </sheets>
  <definedNames>
    <definedName name="_xlnm.Print_Area" localSheetId="0">'견적서(국문)'!$B$3:$G$40</definedName>
    <definedName name="Z_20487F3F_BF98_4B3B_91D2_54C7A2E6F025_.wvu.Cols" localSheetId="0" hidden="1">'견적서(국문)'!$A:$A,'견적서(국문)'!$H:$J</definedName>
    <definedName name="Z_20487F3F_BF98_4B3B_91D2_54C7A2E6F025_.wvu.PrintArea" localSheetId="0" hidden="1">'견적서(국문)'!$B$3:$G$40</definedName>
    <definedName name="Z_20487F3F_BF98_4B3B_91D2_54C7A2E6F025_.wvu.Rows" localSheetId="0" hidden="1">'견적서(국문)'!$1:$2,'견적서(국문)'!$21:$23</definedName>
    <definedName name="제품구분" localSheetId="0">#REF!</definedName>
    <definedName name="제품구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5" i="1" s="1"/>
  <c r="G10" i="1"/>
  <c r="E25" i="1" l="1"/>
  <c r="E24" i="1"/>
</calcChain>
</file>

<file path=xl/sharedStrings.xml><?xml version="1.0" encoding="utf-8"?>
<sst xmlns="http://schemas.openxmlformats.org/spreadsheetml/2006/main" count="28" uniqueCount="28">
  <si>
    <t>견적서</t>
    <phoneticPr fontId="4" type="noConversion"/>
  </si>
  <si>
    <t xml:space="preserve">구매자: </t>
    <phoneticPr fontId="4" type="noConversion"/>
  </si>
  <si>
    <t xml:space="preserve">발행일: </t>
    <phoneticPr fontId="4" type="noConversion"/>
  </si>
  <si>
    <t xml:space="preserve">문서번호: </t>
    <phoneticPr fontId="4" type="noConversion"/>
  </si>
  <si>
    <t>EX251127-01</t>
  </si>
  <si>
    <t>품목</t>
    <phoneticPr fontId="4" type="noConversion"/>
  </si>
  <si>
    <t>모델명</t>
    <phoneticPr fontId="4" type="noConversion"/>
  </si>
  <si>
    <t>옵션</t>
    <phoneticPr fontId="4" type="noConversion"/>
  </si>
  <si>
    <t>수량</t>
    <phoneticPr fontId="4" type="noConversion"/>
  </si>
  <si>
    <t>단가</t>
    <phoneticPr fontId="4" type="noConversion"/>
  </si>
  <si>
    <t>금액</t>
    <phoneticPr fontId="4" type="noConversion"/>
  </si>
  <si>
    <t>합계</t>
    <phoneticPr fontId="4" type="noConversion"/>
  </si>
  <si>
    <t>합계(VAT포함)</t>
    <phoneticPr fontId="4" type="noConversion"/>
  </si>
  <si>
    <t>비고</t>
    <phoneticPr fontId="4" type="noConversion"/>
  </si>
  <si>
    <t>1. Price Validity: 30 days</t>
    <phoneticPr fontId="2" type="noConversion"/>
  </si>
  <si>
    <t>President</t>
    <phoneticPr fontId="4" type="noConversion"/>
  </si>
  <si>
    <t>2. Payment term: T/T in advance</t>
    <phoneticPr fontId="2" type="noConversion"/>
  </si>
  <si>
    <t>3. Price term: EXW</t>
    <phoneticPr fontId="2" type="noConversion"/>
  </si>
  <si>
    <t>4. Delivery : 4 weeks after order confirmation (T/T)</t>
    <phoneticPr fontId="2" type="noConversion"/>
  </si>
  <si>
    <t>5. Warranty: 2 years conditional</t>
    <phoneticPr fontId="2" type="noConversion"/>
  </si>
  <si>
    <t>Climate</t>
  </si>
  <si>
    <t>-</t>
  </si>
  <si>
    <t>기타</t>
  </si>
  <si>
    <t>서비스</t>
  </si>
  <si>
    <t>M 12mm -&gt; M 4.8mm 렌즈 교체 및 재보정</t>
  </si>
  <si>
    <t>강상욱 대리님</t>
  </si>
  <si>
    <t>010-9388-7234</t>
  </si>
  <si>
    <t>경기도 화성시 동탄순환대로 830,1114호 / 구로구 디지털로 26길 5 에이스하이앤드타워 1차 403호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</si>
</sst>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0_);[Red]\(0\)"/>
    <numFmt numFmtId="177" formatCode="_-[$₩-412]* #,##0.00_-;\-[$₩-412]* #,##0.00_-;_-[$₩-412]* &quot;-&quot;??_-;_-@_-"/>
    <numFmt numFmtId="178" formatCode="_-[$$-409]* #,##0.00_ ;_-[$$-409]* \-#,##0.00\ ;_-[$$-409]* &quot;-&quot;??_ ;_-@_ "/>
    <numFmt numFmtId="179" formatCode="_-&quot;US$&quot;* #,##0.00_ ;_-&quot;US$&quot;* \-#,##0.00\ ;_-&quot;US$&quot;* &quot;-&quot;??_ ;_-@_ 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name val="Calibri"/>
      <family val="2"/>
    </font>
    <font>
      <b/>
      <sz val="14"/>
      <name val="Arial"/>
      <family val="2"/>
    </font>
    <font>
      <b/>
      <sz val="20"/>
      <name val="Calibri"/>
      <family val="2"/>
    </font>
    <font>
      <sz val="9"/>
      <name val="Arial"/>
      <family val="2"/>
    </font>
    <font>
      <sz val="9"/>
      <name val="新細明體"/>
      <family val="1"/>
      <charset val="136"/>
    </font>
    <font>
      <b/>
      <sz val="14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67">
    <xf numFmtId="0" fontId="0" fillId="0" borderId="0" xfId="0">
      <alignment vertical="center"/>
    </xf>
    <xf numFmtId="0" fontId="1" fillId="0" borderId="0" xfId="2"/>
    <xf numFmtId="0" fontId="1" fillId="0" borderId="6" xfId="2" applyBorder="1" applyAlignment="1">
      <alignment vertical="center"/>
    </xf>
    <xf numFmtId="0" fontId="1" fillId="0" borderId="0" xfId="2" applyAlignment="1">
      <alignment vertical="center"/>
    </xf>
    <xf numFmtId="0" fontId="1" fillId="0" borderId="7" xfId="2" applyBorder="1" applyAlignment="1">
      <alignment vertical="center"/>
    </xf>
    <xf numFmtId="14" fontId="6" fillId="0" borderId="7" xfId="2" applyNumberFormat="1" applyFont="1" applyBorder="1" applyAlignment="1">
      <alignment horizontal="left" vertical="center"/>
    </xf>
    <xf numFmtId="176" fontId="6" fillId="0" borderId="11" xfId="2" applyNumberFormat="1" applyFont="1" applyBorder="1" applyAlignment="1">
      <alignment horizontal="left" vertical="center" shrinkToFit="1"/>
    </xf>
    <xf numFmtId="0" fontId="6" fillId="0" borderId="0" xfId="2" applyFont="1"/>
    <xf numFmtId="0" fontId="7" fillId="2" borderId="12" xfId="2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1" fillId="0" borderId="15" xfId="2" applyBorder="1" applyAlignment="1">
      <alignment horizontal="center" vertical="center" shrinkToFit="1"/>
    </xf>
    <xf numFmtId="0" fontId="1" fillId="0" borderId="16" xfId="2" applyBorder="1" applyAlignment="1">
      <alignment horizontal="center" vertical="center" wrapText="1"/>
    </xf>
    <xf numFmtId="0" fontId="1" fillId="0" borderId="16" xfId="2" applyBorder="1" applyAlignment="1">
      <alignment horizontal="center" vertical="center"/>
    </xf>
    <xf numFmtId="42" fontId="1" fillId="0" borderId="16" xfId="1" applyFont="1" applyBorder="1" applyAlignment="1">
      <alignment horizontal="center" vertical="center"/>
    </xf>
    <xf numFmtId="42" fontId="1" fillId="0" borderId="17" xfId="1" applyFont="1" applyBorder="1" applyAlignment="1">
      <alignment horizontal="center" vertical="center"/>
    </xf>
    <xf numFmtId="0" fontId="9" fillId="0" borderId="0" xfId="3" applyAlignment="1"/>
    <xf numFmtId="0" fontId="1" fillId="0" borderId="18" xfId="2" applyBorder="1" applyAlignment="1">
      <alignment horizontal="center" vertical="center" shrinkToFit="1"/>
    </xf>
    <xf numFmtId="0" fontId="1" fillId="0" borderId="19" xfId="2" applyBorder="1" applyAlignment="1">
      <alignment horizontal="center" vertical="center"/>
    </xf>
    <xf numFmtId="0" fontId="1" fillId="0" borderId="19" xfId="2" applyBorder="1" applyAlignment="1">
      <alignment horizontal="center" vertical="center" wrapText="1"/>
    </xf>
    <xf numFmtId="42" fontId="1" fillId="0" borderId="19" xfId="1" applyFont="1" applyBorder="1" applyAlignment="1">
      <alignment horizontal="center" vertical="center"/>
    </xf>
    <xf numFmtId="42" fontId="1" fillId="0" borderId="20" xfId="1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25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177" fontId="10" fillId="0" borderId="0" xfId="2" applyNumberFormat="1" applyFont="1" applyAlignment="1">
      <alignment horizontal="center" vertical="center"/>
    </xf>
    <xf numFmtId="178" fontId="10" fillId="0" borderId="0" xfId="2" applyNumberFormat="1" applyFont="1" applyAlignment="1">
      <alignment horizontal="center" vertical="center"/>
    </xf>
    <xf numFmtId="0" fontId="12" fillId="0" borderId="0" xfId="4" applyFont="1" applyAlignment="1">
      <alignment vertical="center"/>
    </xf>
    <xf numFmtId="0" fontId="13" fillId="0" borderId="0" xfId="4" applyFont="1"/>
    <xf numFmtId="0" fontId="14" fillId="0" borderId="0" xfId="4" applyFont="1" applyAlignment="1">
      <alignment horizontal="left" vertical="top"/>
    </xf>
    <xf numFmtId="179" fontId="15" fillId="0" borderId="0" xfId="4" applyNumberFormat="1" applyFont="1"/>
    <xf numFmtId="0" fontId="16" fillId="0" borderId="0" xfId="4" applyFont="1"/>
    <xf numFmtId="0" fontId="17" fillId="0" borderId="0" xfId="2" applyFont="1"/>
    <xf numFmtId="0" fontId="10" fillId="2" borderId="1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6" fillId="0" borderId="5" xfId="2" applyFont="1" applyBorder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6" fillId="0" borderId="8" xfId="2" applyFont="1" applyBorder="1" applyAlignment="1">
      <alignment horizontal="left" vertical="top" wrapText="1"/>
    </xf>
    <xf numFmtId="0" fontId="6" fillId="0" borderId="9" xfId="2" applyFont="1" applyBorder="1" applyAlignment="1">
      <alignment horizontal="left" vertical="top" wrapText="1"/>
    </xf>
    <xf numFmtId="14" fontId="6" fillId="0" borderId="6" xfId="2" applyNumberFormat="1" applyFont="1" applyBorder="1" applyAlignment="1">
      <alignment horizontal="right" vertical="center"/>
    </xf>
    <xf numFmtId="14" fontId="6" fillId="0" borderId="0" xfId="2" applyNumberFormat="1" applyFont="1" applyAlignment="1">
      <alignment horizontal="right" vertical="center"/>
    </xf>
    <xf numFmtId="0" fontId="6" fillId="0" borderId="10" xfId="2" applyFont="1" applyBorder="1" applyAlignment="1">
      <alignment horizontal="right"/>
    </xf>
    <xf numFmtId="0" fontId="6" fillId="0" borderId="9" xfId="2" applyFont="1" applyBorder="1" applyAlignment="1">
      <alignment horizontal="right"/>
    </xf>
    <xf numFmtId="0" fontId="10" fillId="0" borderId="21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42" fontId="10" fillId="0" borderId="22" xfId="1" applyFont="1" applyBorder="1" applyAlignment="1">
      <alignment horizontal="left" vertical="center" shrinkToFit="1"/>
    </xf>
    <xf numFmtId="42" fontId="10" fillId="0" borderId="23" xfId="1" applyFont="1" applyBorder="1" applyAlignment="1">
      <alignment horizontal="left" vertical="center" shrinkToFit="1"/>
    </xf>
    <xf numFmtId="0" fontId="10" fillId="0" borderId="24" xfId="2" applyFont="1" applyBorder="1" applyAlignment="1">
      <alignment horizontal="center" vertical="center"/>
    </xf>
    <xf numFmtId="0" fontId="10" fillId="0" borderId="25" xfId="2" applyFont="1" applyBorder="1" applyAlignment="1">
      <alignment horizontal="center" vertical="center"/>
    </xf>
    <xf numFmtId="42" fontId="10" fillId="0" borderId="25" xfId="1" applyFont="1" applyBorder="1" applyAlignment="1">
      <alignment horizontal="left" vertical="center" shrinkToFit="1"/>
    </xf>
    <xf numFmtId="42" fontId="10" fillId="0" borderId="26" xfId="1" applyFont="1" applyBorder="1" applyAlignment="1">
      <alignment horizontal="left" vertical="center" shrinkToFit="1"/>
    </xf>
    <xf numFmtId="0" fontId="3" fillId="0" borderId="0" xfId="2" applyFont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</cellXfs>
  <cellStyles count="5">
    <cellStyle name="통화 [0]" xfId="1" builtinId="7"/>
    <cellStyle name="표준" xfId="0" builtinId="0"/>
    <cellStyle name="표준 2 2" xfId="4" xr:uid="{0CA7DA91-6AB4-44C5-8B2C-19F09CA96920}"/>
    <cellStyle name="표준 2 3" xfId="2" xr:uid="{2473537D-8483-4CEE-B74E-66E645F725DD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750794</xdr:colOff>
      <xdr:row>32</xdr:row>
      <xdr:rowOff>0</xdr:rowOff>
    </xdr:from>
    <xdr:to>
      <xdr:col>6</xdr:col>
      <xdr:colOff>1064558</xdr:colOff>
      <xdr:row>37</xdr:row>
      <xdr:rowOff>84948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894127-3320-4FD9-BB8F-0793047B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1919" y="9201150"/>
          <a:ext cx="2504514" cy="1323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525C-AFA6-4309-878A-691835DD35D7}">
  <sheetPr codeName="Sheet5">
    <tabColor theme="5" tint="0.59999389629810485"/>
  </sheetPr>
  <dimension ref="A1:T40"/>
  <sheetViews>
    <sheetView tabSelected="1" view="pageLayout" topLeftCell="B13" zoomScale="85" zoomScaleNormal="70" zoomScaleSheetLayoutView="85" zoomScalePageLayoutView="85" workbookViewId="0">
      <selection activeCell="B28" sqref="B28:G30"/>
    </sheetView>
  </sheetViews>
  <sheetFormatPr defaultColWidth="5.625" defaultRowHeight="16.5" x14ac:dyDescent="0.3"/>
  <cols>
    <col min="1" max="1" width="9" style="1" hidden="1" customWidth="1"/>
    <col min="2" max="2" width="19.375" style="1" customWidth="1"/>
    <col min="3" max="3" width="16.375" style="1" customWidth="1"/>
    <col min="4" max="4" width="31.125" style="1" customWidth="1"/>
    <col min="5" max="5" width="10.5" style="1" customWidth="1"/>
    <col min="6" max="7" width="17.625" style="1" customWidth="1"/>
    <col min="8" max="10" width="5.625" style="1" customWidth="1"/>
    <col min="11" max="16384" width="5.625" style="1"/>
  </cols>
  <sheetData>
    <row r="1" spans="2:20" ht="31.5" hidden="1" customHeight="1" x14ac:dyDescent="0.3"/>
    <row r="2" spans="2:20" ht="18" hidden="1" customHeight="1" x14ac:dyDescent="0.3"/>
    <row r="3" spans="2:20" ht="18" customHeight="1" x14ac:dyDescent="0.3">
      <c r="B3" s="59" t="s">
        <v>0</v>
      </c>
      <c r="C3" s="59"/>
      <c r="D3" s="59"/>
      <c r="E3" s="59"/>
      <c r="F3" s="59"/>
      <c r="G3" s="59"/>
    </row>
    <row r="4" spans="2:20" ht="18" customHeight="1" x14ac:dyDescent="0.3">
      <c r="B4" s="59"/>
      <c r="C4" s="59"/>
      <c r="D4" s="59"/>
      <c r="E4" s="59"/>
      <c r="F4" s="59"/>
      <c r="G4" s="59"/>
    </row>
    <row r="5" spans="2:20" ht="18" customHeight="1" thickBot="1" x14ac:dyDescent="0.35">
      <c r="B5" s="59"/>
      <c r="C5" s="59"/>
      <c r="D5" s="59"/>
      <c r="E5" s="59"/>
      <c r="F5" s="59"/>
      <c r="G5" s="59"/>
    </row>
    <row r="6" spans="2:20" ht="18" customHeight="1" x14ac:dyDescent="0.3">
      <c r="B6" s="60" t="s">
        <v>1</v>
      </c>
      <c r="C6" s="61"/>
      <c r="D6" s="61"/>
      <c r="E6" s="62"/>
      <c r="F6" s="63"/>
      <c r="G6" s="64"/>
    </row>
    <row r="7" spans="2:20" ht="18" customHeight="1" x14ac:dyDescent="0.3">
      <c r="B7" s="65" t="s">
        <v>20</v>
      </c>
      <c r="C7" s="66"/>
      <c r="D7" s="66"/>
      <c r="E7" s="2"/>
      <c r="F7" s="3"/>
      <c r="G7" s="4"/>
    </row>
    <row r="8" spans="2:20" ht="18" customHeight="1" x14ac:dyDescent="0.3">
      <c r="B8" s="65" t="s">
        <v>25</v>
      </c>
      <c r="C8" s="66"/>
      <c r="D8" s="66"/>
      <c r="E8" s="2"/>
      <c r="F8" s="3"/>
      <c r="G8" s="4"/>
    </row>
    <row r="9" spans="2:20" ht="17.25" x14ac:dyDescent="0.3">
      <c r="B9" s="65" t="s">
        <v>26</v>
      </c>
      <c r="C9" s="66"/>
      <c r="D9" s="66"/>
      <c r="E9" s="2"/>
      <c r="F9" s="3"/>
      <c r="G9" s="4"/>
    </row>
    <row r="10" spans="2:20" ht="18" customHeight="1" x14ac:dyDescent="0.3">
      <c r="B10" s="43" t="s">
        <v>27</v>
      </c>
      <c r="C10" s="44"/>
      <c r="D10" s="44"/>
      <c r="E10" s="47" t="s">
        <v>2</v>
      </c>
      <c r="F10" s="48"/>
      <c r="G10" s="5">
        <f ca="1">TODAY()</f>
        <v>45993</v>
      </c>
    </row>
    <row r="11" spans="2:20" ht="17.25" customHeight="1" thickBot="1" x14ac:dyDescent="0.35">
      <c r="B11" s="45"/>
      <c r="C11" s="46"/>
      <c r="D11" s="46"/>
      <c r="E11" s="49" t="s">
        <v>3</v>
      </c>
      <c r="F11" s="50"/>
      <c r="G11" s="6" t="s">
        <v>4</v>
      </c>
    </row>
    <row r="12" spans="2:20" ht="18" thickBot="1" x14ac:dyDescent="0.35">
      <c r="B12" s="7"/>
      <c r="C12" s="7"/>
      <c r="D12" s="7"/>
      <c r="E12" s="7"/>
      <c r="F12" s="7"/>
      <c r="G12" s="7"/>
    </row>
    <row r="13" spans="2:20" ht="32.25" customHeight="1" x14ac:dyDescent="0.3">
      <c r="B13" s="8" t="s">
        <v>5</v>
      </c>
      <c r="C13" s="9" t="s">
        <v>6</v>
      </c>
      <c r="D13" s="9" t="s">
        <v>7</v>
      </c>
      <c r="E13" s="9" t="s">
        <v>8</v>
      </c>
      <c r="F13" s="9" t="s">
        <v>9</v>
      </c>
      <c r="G13" s="10" t="s">
        <v>10</v>
      </c>
    </row>
    <row r="14" spans="2:20" ht="31.5" customHeight="1" x14ac:dyDescent="0.3">
      <c r="B14" s="11" t="s">
        <v>22</v>
      </c>
      <c r="C14" s="12" t="s">
        <v>23</v>
      </c>
      <c r="D14" s="12" t="s">
        <v>24</v>
      </c>
      <c r="E14" s="13">
        <v>1</v>
      </c>
      <c r="F14" s="14">
        <v>150000</v>
      </c>
      <c r="G14" s="15">
        <v>150000</v>
      </c>
    </row>
    <row r="15" spans="2:20" ht="31.5" customHeight="1" x14ac:dyDescent="0.3">
      <c r="B15" s="11"/>
      <c r="C15" s="12"/>
      <c r="D15" s="12"/>
      <c r="E15" s="13"/>
      <c r="F15" s="14"/>
      <c r="G15" s="15"/>
      <c r="T15" s="16"/>
    </row>
    <row r="16" spans="2:20" ht="31.5" customHeight="1" x14ac:dyDescent="0.3">
      <c r="B16" s="11"/>
      <c r="C16" s="12"/>
      <c r="D16" s="12"/>
      <c r="E16" s="13"/>
      <c r="F16" s="14"/>
      <c r="G16" s="15"/>
    </row>
    <row r="17" spans="2:7" ht="31.5" customHeight="1" x14ac:dyDescent="0.3">
      <c r="B17" s="11"/>
      <c r="C17" s="13"/>
      <c r="D17" s="12"/>
      <c r="E17" s="13"/>
      <c r="F17" s="14"/>
      <c r="G17" s="15"/>
    </row>
    <row r="18" spans="2:7" ht="31.5" customHeight="1" x14ac:dyDescent="0.3">
      <c r="B18" s="11"/>
      <c r="C18" s="13"/>
      <c r="D18" s="12"/>
      <c r="E18" s="13"/>
      <c r="F18" s="14"/>
      <c r="G18" s="15"/>
    </row>
    <row r="19" spans="2:7" ht="31.5" customHeight="1" x14ac:dyDescent="0.3">
      <c r="B19" s="11"/>
      <c r="C19" s="13"/>
      <c r="D19" s="12"/>
      <c r="E19" s="13"/>
      <c r="F19" s="14"/>
      <c r="G19" s="15"/>
    </row>
    <row r="20" spans="2:7" ht="31.5" customHeight="1" x14ac:dyDescent="0.3">
      <c r="B20" s="17"/>
      <c r="C20" s="18"/>
      <c r="D20" s="19"/>
      <c r="E20" s="18"/>
      <c r="F20" s="20"/>
      <c r="G20" s="21"/>
    </row>
    <row r="21" spans="2:7" ht="31.5" customHeight="1" x14ac:dyDescent="0.3">
      <c r="B21" s="11"/>
      <c r="C21" s="13"/>
      <c r="D21" s="12"/>
      <c r="E21" s="13"/>
      <c r="F21" s="14"/>
      <c r="G21" s="15"/>
    </row>
    <row r="22" spans="2:7" ht="31.5" customHeight="1" x14ac:dyDescent="0.3">
      <c r="B22" s="11"/>
      <c r="C22" s="13"/>
      <c r="D22" s="12"/>
      <c r="E22" s="13"/>
      <c r="F22" s="14"/>
      <c r="G22" s="15"/>
    </row>
    <row r="23" spans="2:7" ht="33" customHeight="1" thickBot="1" x14ac:dyDescent="0.35">
      <c r="B23" s="11"/>
      <c r="C23" s="13"/>
      <c r="D23" s="12"/>
      <c r="E23" s="13"/>
      <c r="F23" s="14"/>
      <c r="G23" s="15"/>
    </row>
    <row r="24" spans="2:7" ht="27" customHeight="1" thickTop="1" x14ac:dyDescent="0.3">
      <c r="B24" s="51" t="s">
        <v>11</v>
      </c>
      <c r="C24" s="52"/>
      <c r="D24" s="52"/>
      <c r="E24" s="22">
        <f>SUM(E13:E23)</f>
        <v>1</v>
      </c>
      <c r="F24" s="53">
        <f>SUM(G13:G23)</f>
        <v>150000</v>
      </c>
      <c r="G24" s="54"/>
    </row>
    <row r="25" spans="2:7" ht="27" customHeight="1" thickBot="1" x14ac:dyDescent="0.35">
      <c r="B25" s="55" t="s">
        <v>12</v>
      </c>
      <c r="C25" s="56"/>
      <c r="D25" s="56"/>
      <c r="E25" s="23">
        <f>SUM(E14:E23)</f>
        <v>1</v>
      </c>
      <c r="F25" s="57">
        <f>F24*1.1</f>
        <v>165000</v>
      </c>
      <c r="G25" s="58"/>
    </row>
    <row r="26" spans="2:7" ht="27" customHeight="1" thickBot="1" x14ac:dyDescent="0.35">
      <c r="B26" s="24"/>
      <c r="C26" s="24"/>
      <c r="D26" s="24"/>
      <c r="E26" s="24"/>
      <c r="F26" s="25"/>
      <c r="G26" s="25"/>
    </row>
    <row r="27" spans="2:7" ht="27" customHeight="1" x14ac:dyDescent="0.3">
      <c r="B27" s="33" t="s">
        <v>13</v>
      </c>
      <c r="C27" s="34"/>
      <c r="D27" s="34"/>
      <c r="E27" s="34"/>
      <c r="F27" s="34"/>
      <c r="G27" s="35"/>
    </row>
    <row r="28" spans="2:7" ht="27" customHeight="1" x14ac:dyDescent="0.3">
      <c r="B28" s="36" t="s">
        <v>21</v>
      </c>
      <c r="C28" s="37"/>
      <c r="D28" s="37"/>
      <c r="E28" s="37"/>
      <c r="F28" s="37"/>
      <c r="G28" s="38"/>
    </row>
    <row r="29" spans="2:7" ht="27" customHeight="1" x14ac:dyDescent="0.3">
      <c r="B29" s="39"/>
      <c r="C29" s="37"/>
      <c r="D29" s="37"/>
      <c r="E29" s="37"/>
      <c r="F29" s="37"/>
      <c r="G29" s="38"/>
    </row>
    <row r="30" spans="2:7" ht="21" customHeight="1" thickBot="1" x14ac:dyDescent="0.35">
      <c r="B30" s="40"/>
      <c r="C30" s="41"/>
      <c r="D30" s="41"/>
      <c r="E30" s="41"/>
      <c r="F30" s="41"/>
      <c r="G30" s="42"/>
    </row>
    <row r="31" spans="2:7" ht="27" customHeight="1" x14ac:dyDescent="0.3">
      <c r="B31" s="24"/>
      <c r="C31" s="24"/>
      <c r="D31" s="24"/>
      <c r="F31" s="26"/>
      <c r="G31" s="26"/>
    </row>
    <row r="32" spans="2:7" ht="20.25" customHeight="1" x14ac:dyDescent="0.3">
      <c r="B32" s="27" t="s">
        <v>14</v>
      </c>
      <c r="C32" s="27"/>
      <c r="D32" s="27"/>
      <c r="E32" s="28" t="s">
        <v>15</v>
      </c>
      <c r="F32" s="29"/>
      <c r="G32" s="29"/>
    </row>
    <row r="33" spans="2:7" ht="20.25" customHeight="1" x14ac:dyDescent="0.3">
      <c r="B33" s="27" t="s">
        <v>16</v>
      </c>
      <c r="C33" s="27"/>
      <c r="D33" s="30"/>
      <c r="E33" s="29"/>
      <c r="F33" s="29"/>
      <c r="G33" s="29"/>
    </row>
    <row r="34" spans="2:7" ht="20.25" customHeight="1" x14ac:dyDescent="0.35">
      <c r="B34" s="27" t="s">
        <v>17</v>
      </c>
      <c r="C34" s="27"/>
      <c r="D34" s="31"/>
      <c r="E34" s="32"/>
    </row>
    <row r="35" spans="2:7" ht="20.25" customHeight="1" x14ac:dyDescent="0.3">
      <c r="B35" s="27" t="s">
        <v>18</v>
      </c>
      <c r="C35" s="27"/>
      <c r="D35" s="31"/>
      <c r="E35" s="28"/>
    </row>
    <row r="36" spans="2:7" ht="20.25" customHeight="1" x14ac:dyDescent="0.3">
      <c r="B36" s="27" t="s">
        <v>19</v>
      </c>
      <c r="C36" s="27"/>
      <c r="D36" s="31"/>
    </row>
    <row r="39" spans="2:7" hidden="1" x14ac:dyDescent="0.3"/>
    <row r="40" spans="2:7" hidden="1" x14ac:dyDescent="0.3"/>
  </sheetData>
  <mergeCells count="15">
    <mergeCell ref="B9:D9"/>
    <mergeCell ref="B3:G5"/>
    <mergeCell ref="B6:D6"/>
    <mergeCell ref="E6:G6"/>
    <mergeCell ref="B7:D7"/>
    <mergeCell ref="B8:D8"/>
    <mergeCell ref="B27:G27"/>
    <mergeCell ref="B28:G30"/>
    <mergeCell ref="B10:D11"/>
    <mergeCell ref="E10:F10"/>
    <mergeCell ref="E11:F11"/>
    <mergeCell ref="B24:D24"/>
    <mergeCell ref="F24:G24"/>
    <mergeCell ref="B25:D25"/>
    <mergeCell ref="F25:G25"/>
  </mergeCells>
  <phoneticPr fontId="2" type="noConversion"/>
  <dataValidations count="1">
    <dataValidation type="list" allowBlank="1" showInputMessage="1" showErrorMessage="1" sqref="G11" xr:uid="{12263383-4305-495C-89C1-B1CDA7A4B9B6}">
      <formula1>INDIRECT("tbl_견적[문서번호]")</formula1>
    </dataValidation>
  </dataValidations>
  <printOptions horizontalCentered="1"/>
  <pageMargins left="0.23622047244094491" right="0.23622047244094491" top="0.62992125984251968" bottom="0.19685039370078741" header="0" footer="0"/>
  <pageSetup paperSize="9" scale="81" orientation="portrait" r:id="rId1"/>
  <headerFooter>
    <oddHeader>&amp;L&amp;G&amp;C&amp;"-,굵게"&amp;10서울시 구로구 디지털로 242 한화비즈메트로 1차 810호 콕스 (우: 08394)
전화: 02-857-3888, 팩스: 070-7614-3871, 이메일: sales@coxcamera.com www.coxcamera.com&amp;R&amp;G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견적서(국문)</vt:lpstr>
      <vt:lpstr>'견적서(국문)'!Print_Area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 Ha</dc:creator>
  <cp:lastModifiedBy>Sumin Ha</cp:lastModifiedBy>
  <dcterms:created xsi:type="dcterms:W3CDTF">2025-12-01T08:02:28Z</dcterms:created>
  <dcterms:modified xsi:type="dcterms:W3CDTF">2025-12-01T23:56:31Z</dcterms:modified>
</cp:coreProperties>
</file>